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xpertthermal.sharepoint.com/sites/XThermal-CoreTeam/Shared Documents/Xthermal Development/Internship-India/CSE/"/>
    </mc:Choice>
  </mc:AlternateContent>
  <bookViews>
    <workbookView xWindow="-105" yWindow="-105" windowWidth="23250" windowHeight="12450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3" l="1"/>
  <c r="I25" i="3"/>
  <c r="C44" i="3"/>
  <c r="C43" i="3"/>
  <c r="C42" i="3"/>
  <c r="E15" i="3"/>
  <c r="C15" i="3"/>
  <c r="E29" i="3"/>
  <c r="E18" i="3"/>
  <c r="E17" i="3"/>
  <c r="E13" i="3"/>
  <c r="E14" i="3"/>
  <c r="E12" i="3"/>
  <c r="E4" i="3"/>
  <c r="E5" i="3"/>
  <c r="E3" i="3"/>
  <c r="C20" i="3"/>
  <c r="E20" i="3" s="1"/>
  <c r="C37" i="3" s="1"/>
  <c r="C38" i="3" s="1"/>
  <c r="C39" i="3" s="1"/>
  <c r="I30" i="3" s="1"/>
  <c r="C19" i="3"/>
  <c r="E19" i="3" s="1"/>
  <c r="C46" i="3" s="1"/>
  <c r="C6" i="3"/>
  <c r="E6" i="3" s="1"/>
  <c r="I29" i="3" l="1"/>
  <c r="I37" i="3" l="1"/>
  <c r="I38" i="3" s="1"/>
</calcChain>
</file>

<file path=xl/sharedStrings.xml><?xml version="1.0" encoding="utf-8"?>
<sst xmlns="http://schemas.openxmlformats.org/spreadsheetml/2006/main" count="102" uniqueCount="66">
  <si>
    <t>mm</t>
  </si>
  <si>
    <t>W</t>
  </si>
  <si>
    <t>m/s</t>
  </si>
  <si>
    <t>m</t>
  </si>
  <si>
    <t>processor specification</t>
  </si>
  <si>
    <t>Die Length</t>
  </si>
  <si>
    <t>Die width</t>
  </si>
  <si>
    <t>Die thickness</t>
  </si>
  <si>
    <t>Die Area</t>
  </si>
  <si>
    <t>mm2</t>
  </si>
  <si>
    <t>m2</t>
  </si>
  <si>
    <t>Heat sink Specification</t>
  </si>
  <si>
    <t>Sink Length</t>
  </si>
  <si>
    <t>sink width</t>
  </si>
  <si>
    <t>base thickness</t>
  </si>
  <si>
    <t>base</t>
  </si>
  <si>
    <t>No. of Fins</t>
  </si>
  <si>
    <t>Fin Thickness</t>
  </si>
  <si>
    <t>Fin Height</t>
  </si>
  <si>
    <t>overall height</t>
  </si>
  <si>
    <t>Fin Spacing</t>
  </si>
  <si>
    <t>Fins</t>
  </si>
  <si>
    <t>Material</t>
  </si>
  <si>
    <t>For Heat Sink</t>
  </si>
  <si>
    <t xml:space="preserve">Aluminium </t>
  </si>
  <si>
    <t xml:space="preserve">Thermal Conductivity </t>
  </si>
  <si>
    <t>W/mk</t>
  </si>
  <si>
    <t>For TIM</t>
  </si>
  <si>
    <t>Thermal Grease</t>
  </si>
  <si>
    <t>Thickness of application</t>
  </si>
  <si>
    <t>Kinamatick viscosity</t>
  </si>
  <si>
    <t>m2/s</t>
  </si>
  <si>
    <t>Prandtl Number</t>
  </si>
  <si>
    <t>R_jc</t>
  </si>
  <si>
    <t>degC/W</t>
  </si>
  <si>
    <t>R_tim</t>
  </si>
  <si>
    <t>Contact area for TIM</t>
  </si>
  <si>
    <t>base area</t>
  </si>
  <si>
    <t>Cooling Medium (Air)</t>
  </si>
  <si>
    <t>Resitance Junction to chip case</t>
  </si>
  <si>
    <t>TIM Thermal Resistance calculation</t>
  </si>
  <si>
    <t>Heat sink Thermal Resistance calculation to base</t>
  </si>
  <si>
    <t xml:space="preserve">R_cond </t>
  </si>
  <si>
    <t>calculation of convective heat transfer coefficient</t>
  </si>
  <si>
    <t>Re</t>
  </si>
  <si>
    <t>Velocity of Air</t>
  </si>
  <si>
    <t>Nu</t>
  </si>
  <si>
    <t>at 25 decC</t>
  </si>
  <si>
    <t>h</t>
  </si>
  <si>
    <t>Calculation of area for convection</t>
  </si>
  <si>
    <t>Area of single fin</t>
  </si>
  <si>
    <t>Total area of Fin</t>
  </si>
  <si>
    <t>Area of base</t>
  </si>
  <si>
    <t>A_Total</t>
  </si>
  <si>
    <t>R_conv</t>
  </si>
  <si>
    <t>W/m2k</t>
  </si>
  <si>
    <t>Total Heat Sink Resitance</t>
  </si>
  <si>
    <t>Junction Temperature</t>
  </si>
  <si>
    <t>Ambient Temperature</t>
  </si>
  <si>
    <t>degC</t>
  </si>
  <si>
    <t>Thermal Design Power(TDP)</t>
  </si>
  <si>
    <t>Assumptions</t>
  </si>
  <si>
    <t>Convective resistance through fins</t>
  </si>
  <si>
    <t>Calculations</t>
  </si>
  <si>
    <t>Results</t>
  </si>
  <si>
    <t>Flow will be Laminar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</si>
</sst>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Border="1"/>
    <xf numFmtId="0" fontId="4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0" fillId="3" borderId="0" xfId="0" applyFill="1" applyAlignment="1"/>
    <xf numFmtId="0" fontId="1" fillId="3" borderId="7" xfId="0" applyFont="1" applyFill="1" applyBorder="1" applyAlignment="1">
      <alignment horizontal="center"/>
    </xf>
    <xf numFmtId="0" fontId="0" fillId="3" borderId="0" xfId="0" applyFill="1"/>
    <xf numFmtId="0" fontId="3" fillId="4" borderId="1" xfId="0" applyFont="1" applyFill="1" applyBorder="1" applyAlignment="1">
      <alignment horizontal="center"/>
    </xf>
    <xf numFmtId="11" fontId="3" fillId="4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NumberFormat="1" applyFill="1" applyBorder="1"/>
    <xf numFmtId="0" fontId="0" fillId="6" borderId="13" xfId="0" applyFill="1" applyBorder="1"/>
    <xf numFmtId="0" fontId="0" fillId="6" borderId="1" xfId="0" applyFill="1" applyBorder="1"/>
    <xf numFmtId="0" fontId="0" fillId="6" borderId="14" xfId="0" applyFill="1" applyBorder="1"/>
    <xf numFmtId="0" fontId="0" fillId="6" borderId="15" xfId="0" applyFill="1" applyBorder="1"/>
    <xf numFmtId="0" fontId="0" fillId="6" borderId="0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18" xfId="0" applyFill="1" applyBorder="1"/>
    <xf numFmtId="0" fontId="0" fillId="6" borderId="19" xfId="0" applyFill="1" applyBorder="1"/>
    <xf numFmtId="0" fontId="1" fillId="7" borderId="13" xfId="0" applyFont="1" applyFill="1" applyBorder="1"/>
    <xf numFmtId="0" fontId="1" fillId="7" borderId="1" xfId="0" applyFont="1" applyFill="1" applyBorder="1"/>
    <xf numFmtId="0" fontId="1" fillId="7" borderId="14" xfId="0" applyFont="1" applyFill="1" applyBorder="1"/>
    <xf numFmtId="0" fontId="1" fillId="7" borderId="17" xfId="0" applyFont="1" applyFill="1" applyBorder="1"/>
    <xf numFmtId="0" fontId="1" fillId="7" borderId="18" xfId="0" applyFont="1" applyFill="1" applyBorder="1"/>
    <xf numFmtId="0" fontId="1" fillId="7" borderId="19" xfId="0" applyFont="1" applyFill="1" applyBorder="1"/>
    <xf numFmtId="0" fontId="5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/>
    </xf>
    <xf numFmtId="0" fontId="5" fillId="7" borderId="22" xfId="0" applyFont="1" applyFill="1" applyBorder="1" applyAlignment="1">
      <alignment horizontal="center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411480</xdr:colOff>
      <xdr:row>8</xdr:row>
      <xdr:rowOff>106680</xdr:rowOff>
    </xdr:from>
    <xdr:to>
      <xdr:col>12</xdr:col>
      <xdr:colOff>502920</xdr:colOff>
      <xdr:row>10</xdr:row>
      <xdr:rowOff>167640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7A88D48-CF0A-41AC-9E9F-E17B4F52B878}"/>
            </a:ext>
          </a:extLst>
        </xdr:cNvPr>
        <xdr:cNvSpPr txBox="1"/>
      </xdr:nvSpPr>
      <xdr:spPr>
        <a:xfrm>
          <a:off x="8252460" y="1569720"/>
          <a:ext cx="70104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PCB</a:t>
          </a:r>
        </a:p>
      </xdr:txBody>
    </xdr:sp>
    <xdr:clientData/>
  </xdr:twoCellAnchor>
  <xdr:twoCellAnchor>
    <xdr:from>
      <xdr:col>15</xdr:col>
      <xdr:colOff>403860</xdr:colOff>
      <xdr:row>7</xdr:row>
      <xdr:rowOff>129540</xdr:rowOff>
    </xdr:from>
    <xdr:to>
      <xdr:col>17</xdr:col>
      <xdr:colOff>457200</xdr:colOff>
      <xdr:row>9</xdr:row>
      <xdr:rowOff>15240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23F5067-CA2A-4264-92EA-1D3692F7F6AC}"/>
            </a:ext>
          </a:extLst>
        </xdr:cNvPr>
        <xdr:cNvSpPr/>
      </xdr:nvSpPr>
      <xdr:spPr>
        <a:xfrm>
          <a:off x="10683240" y="1409700"/>
          <a:ext cx="1272540" cy="251460"/>
        </a:xfrm>
        <a:prstGeom prst="rect">
          <a:avLst/>
        </a:prstGeom>
        <a:solidFill>
          <a:schemeClr val="bg2">
            <a:lumMod val="50000"/>
          </a:schemeClr>
        </a:solidFill>
        <a:ln>
          <a:solidFill>
            <a:schemeClr val="bg2">
              <a:lumMod val="75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449580</xdr:colOff>
      <xdr:row>9</xdr:row>
      <xdr:rowOff>30480</xdr:rowOff>
    </xdr:from>
    <xdr:to>
      <xdr:col>19</xdr:col>
      <xdr:colOff>391980</xdr:colOff>
      <xdr:row>9</xdr:row>
      <xdr:rowOff>120480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53268BC-FB0F-4ABE-8172-3416CD92572B}"/>
            </a:ext>
          </a:extLst>
        </xdr:cNvPr>
        <xdr:cNvSpPr/>
      </xdr:nvSpPr>
      <xdr:spPr>
        <a:xfrm>
          <a:off x="9509760" y="1676400"/>
          <a:ext cx="3600000" cy="900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.1</a:t>
          </a:r>
        </a:p>
        <a:p>
          <a:pPr algn="l"/>
          <a:endParaRPr lang="en-IN" sz="1100"/>
        </a:p>
      </xdr:txBody>
    </xdr:sp>
    <xdr:clientData/>
  </xdr:twoCellAnchor>
  <xdr:twoCellAnchor>
    <xdr:from>
      <xdr:col>16</xdr:col>
      <xdr:colOff>68580</xdr:colOff>
      <xdr:row>8</xdr:row>
      <xdr:rowOff>30480</xdr:rowOff>
    </xdr:from>
    <xdr:to>
      <xdr:col>17</xdr:col>
      <xdr:colOff>167640</xdr:colOff>
      <xdr:row>8</xdr:row>
      <xdr:rowOff>114300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593EE9B-73F8-441B-86EE-2B254B405156}"/>
            </a:ext>
          </a:extLst>
        </xdr:cNvPr>
        <xdr:cNvSpPr/>
      </xdr:nvSpPr>
      <xdr:spPr>
        <a:xfrm>
          <a:off x="10957560" y="1493520"/>
          <a:ext cx="708660" cy="8382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403860</xdr:colOff>
      <xdr:row>7</xdr:row>
      <xdr:rowOff>22860</xdr:rowOff>
    </xdr:from>
    <xdr:to>
      <xdr:col>17</xdr:col>
      <xdr:colOff>457200</xdr:colOff>
      <xdr:row>7</xdr:row>
      <xdr:rowOff>114300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A8D6924-42B0-4C2C-AA57-51CA04585547}"/>
            </a:ext>
          </a:extLst>
        </xdr:cNvPr>
        <xdr:cNvSpPr/>
      </xdr:nvSpPr>
      <xdr:spPr>
        <a:xfrm>
          <a:off x="10683240" y="1303020"/>
          <a:ext cx="1272540" cy="9144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198120</xdr:colOff>
      <xdr:row>6</xdr:row>
      <xdr:rowOff>0</xdr:rowOff>
    </xdr:from>
    <xdr:to>
      <xdr:col>18</xdr:col>
      <xdr:colOff>586740</xdr:colOff>
      <xdr:row>7</xdr:row>
      <xdr:rowOff>7620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1C26E61-AC30-4886-86D9-FF57FA0473EC}"/>
            </a:ext>
          </a:extLst>
        </xdr:cNvPr>
        <xdr:cNvSpPr/>
      </xdr:nvSpPr>
      <xdr:spPr>
        <a:xfrm>
          <a:off x="9867900" y="1097280"/>
          <a:ext cx="2827020" cy="19050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198120</xdr:colOff>
      <xdr:row>2</xdr:row>
      <xdr:rowOff>106680</xdr:rowOff>
    </xdr:from>
    <xdr:to>
      <xdr:col>14</xdr:col>
      <xdr:colOff>304800</xdr:colOff>
      <xdr:row>5</xdr:row>
      <xdr:rowOff>175260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A833B15-758C-47EB-A80F-2DC6D37FF56A}"/>
            </a:ext>
          </a:extLst>
        </xdr:cNvPr>
        <xdr:cNvSpPr/>
      </xdr:nvSpPr>
      <xdr:spPr>
        <a:xfrm>
          <a:off x="986790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403860</xdr:colOff>
      <xdr:row>2</xdr:row>
      <xdr:rowOff>106680</xdr:rowOff>
    </xdr:from>
    <xdr:to>
      <xdr:col>14</xdr:col>
      <xdr:colOff>510540</xdr:colOff>
      <xdr:row>5</xdr:row>
      <xdr:rowOff>175260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09E9C77-43FE-4129-ACDB-EB8A462131FB}"/>
            </a:ext>
          </a:extLst>
        </xdr:cNvPr>
        <xdr:cNvSpPr/>
      </xdr:nvSpPr>
      <xdr:spPr>
        <a:xfrm>
          <a:off x="1007364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586740</xdr:colOff>
      <xdr:row>2</xdr:row>
      <xdr:rowOff>106680</xdr:rowOff>
    </xdr:from>
    <xdr:to>
      <xdr:col>15</xdr:col>
      <xdr:colOff>83820</xdr:colOff>
      <xdr:row>5</xdr:row>
      <xdr:rowOff>175260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D0770EC-9201-4D19-86E0-925049BD2937}"/>
            </a:ext>
          </a:extLst>
        </xdr:cNvPr>
        <xdr:cNvSpPr/>
      </xdr:nvSpPr>
      <xdr:spPr>
        <a:xfrm>
          <a:off x="1025652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182880</xdr:colOff>
      <xdr:row>2</xdr:row>
      <xdr:rowOff>106680</xdr:rowOff>
    </xdr:from>
    <xdr:to>
      <xdr:col>15</xdr:col>
      <xdr:colOff>289560</xdr:colOff>
      <xdr:row>5</xdr:row>
      <xdr:rowOff>175260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C63758C-1D58-4960-89F4-348D2F6FD399}"/>
            </a:ext>
          </a:extLst>
        </xdr:cNvPr>
        <xdr:cNvSpPr/>
      </xdr:nvSpPr>
      <xdr:spPr>
        <a:xfrm>
          <a:off x="1046226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365760</xdr:colOff>
      <xdr:row>2</xdr:row>
      <xdr:rowOff>106680</xdr:rowOff>
    </xdr:from>
    <xdr:to>
      <xdr:col>15</xdr:col>
      <xdr:colOff>472440</xdr:colOff>
      <xdr:row>5</xdr:row>
      <xdr:rowOff>175260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DBE012F-8D68-42A6-A11C-45C09E711816}"/>
            </a:ext>
          </a:extLst>
        </xdr:cNvPr>
        <xdr:cNvSpPr/>
      </xdr:nvSpPr>
      <xdr:spPr>
        <a:xfrm>
          <a:off x="1064514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571500</xdr:colOff>
      <xdr:row>2</xdr:row>
      <xdr:rowOff>106680</xdr:rowOff>
    </xdr:from>
    <xdr:to>
      <xdr:col>16</xdr:col>
      <xdr:colOff>68580</xdr:colOff>
      <xdr:row>5</xdr:row>
      <xdr:rowOff>175260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89BD455-9C9A-47BB-8CE3-B92A50172C9C}"/>
            </a:ext>
          </a:extLst>
        </xdr:cNvPr>
        <xdr:cNvSpPr/>
      </xdr:nvSpPr>
      <xdr:spPr>
        <a:xfrm>
          <a:off x="1085088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144780</xdr:colOff>
      <xdr:row>2</xdr:row>
      <xdr:rowOff>106680</xdr:rowOff>
    </xdr:from>
    <xdr:to>
      <xdr:col>16</xdr:col>
      <xdr:colOff>251460</xdr:colOff>
      <xdr:row>5</xdr:row>
      <xdr:rowOff>175260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66C26E9-E633-498C-A22D-13FF1DA6E5B6}"/>
            </a:ext>
          </a:extLst>
        </xdr:cNvPr>
        <xdr:cNvSpPr/>
      </xdr:nvSpPr>
      <xdr:spPr>
        <a:xfrm>
          <a:off x="1103376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350520</xdr:colOff>
      <xdr:row>2</xdr:row>
      <xdr:rowOff>106680</xdr:rowOff>
    </xdr:from>
    <xdr:to>
      <xdr:col>16</xdr:col>
      <xdr:colOff>457200</xdr:colOff>
      <xdr:row>5</xdr:row>
      <xdr:rowOff>175260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3075E2C-6CC8-4A6D-8245-DEE034C070EE}"/>
            </a:ext>
          </a:extLst>
        </xdr:cNvPr>
        <xdr:cNvSpPr/>
      </xdr:nvSpPr>
      <xdr:spPr>
        <a:xfrm>
          <a:off x="1123950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533400</xdr:colOff>
      <xdr:row>2</xdr:row>
      <xdr:rowOff>106680</xdr:rowOff>
    </xdr:from>
    <xdr:to>
      <xdr:col>17</xdr:col>
      <xdr:colOff>30480</xdr:colOff>
      <xdr:row>5</xdr:row>
      <xdr:rowOff>175260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52586C2-97D9-491E-BBDD-42F4B39DECDE}"/>
            </a:ext>
          </a:extLst>
        </xdr:cNvPr>
        <xdr:cNvSpPr/>
      </xdr:nvSpPr>
      <xdr:spPr>
        <a:xfrm>
          <a:off x="1142238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129540</xdr:colOff>
      <xdr:row>2</xdr:row>
      <xdr:rowOff>106680</xdr:rowOff>
    </xdr:from>
    <xdr:to>
      <xdr:col>17</xdr:col>
      <xdr:colOff>236220</xdr:colOff>
      <xdr:row>5</xdr:row>
      <xdr:rowOff>175260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5883126-1B8D-455E-B32E-A06F27200FD1}"/>
            </a:ext>
          </a:extLst>
        </xdr:cNvPr>
        <xdr:cNvSpPr/>
      </xdr:nvSpPr>
      <xdr:spPr>
        <a:xfrm>
          <a:off x="1162812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312420</xdr:colOff>
      <xdr:row>2</xdr:row>
      <xdr:rowOff>106680</xdr:rowOff>
    </xdr:from>
    <xdr:to>
      <xdr:col>17</xdr:col>
      <xdr:colOff>419100</xdr:colOff>
      <xdr:row>5</xdr:row>
      <xdr:rowOff>175260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FCEE3418-1E71-43B2-86EF-B2357D8C2DDA}"/>
            </a:ext>
          </a:extLst>
        </xdr:cNvPr>
        <xdr:cNvSpPr/>
      </xdr:nvSpPr>
      <xdr:spPr>
        <a:xfrm>
          <a:off x="1181100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518160</xdr:colOff>
      <xdr:row>2</xdr:row>
      <xdr:rowOff>106680</xdr:rowOff>
    </xdr:from>
    <xdr:to>
      <xdr:col>18</xdr:col>
      <xdr:colOff>15240</xdr:colOff>
      <xdr:row>5</xdr:row>
      <xdr:rowOff>175260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76E74A8-B147-42B1-8A8A-7B812C43C59E}"/>
            </a:ext>
          </a:extLst>
        </xdr:cNvPr>
        <xdr:cNvSpPr/>
      </xdr:nvSpPr>
      <xdr:spPr>
        <a:xfrm>
          <a:off x="1201674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91440</xdr:colOff>
      <xdr:row>2</xdr:row>
      <xdr:rowOff>106680</xdr:rowOff>
    </xdr:from>
    <xdr:to>
      <xdr:col>18</xdr:col>
      <xdr:colOff>198120</xdr:colOff>
      <xdr:row>5</xdr:row>
      <xdr:rowOff>175260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BF4D471-D098-4EA9-B978-E9E893BFEEE7}"/>
            </a:ext>
          </a:extLst>
        </xdr:cNvPr>
        <xdr:cNvSpPr/>
      </xdr:nvSpPr>
      <xdr:spPr>
        <a:xfrm>
          <a:off x="1219962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297180</xdr:colOff>
      <xdr:row>2</xdr:row>
      <xdr:rowOff>106680</xdr:rowOff>
    </xdr:from>
    <xdr:to>
      <xdr:col>18</xdr:col>
      <xdr:colOff>403860</xdr:colOff>
      <xdr:row>5</xdr:row>
      <xdr:rowOff>175260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3F4ED3E-BA07-4302-AADC-1EFCDA455FF8}"/>
            </a:ext>
          </a:extLst>
        </xdr:cNvPr>
        <xdr:cNvSpPr/>
      </xdr:nvSpPr>
      <xdr:spPr>
        <a:xfrm>
          <a:off x="1240536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480060</xdr:colOff>
      <xdr:row>2</xdr:row>
      <xdr:rowOff>106680</xdr:rowOff>
    </xdr:from>
    <xdr:to>
      <xdr:col>18</xdr:col>
      <xdr:colOff>586740</xdr:colOff>
      <xdr:row>5</xdr:row>
      <xdr:rowOff>175260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5FA891E-3926-4B2B-AD53-5A650E74C8D0}"/>
            </a:ext>
          </a:extLst>
        </xdr:cNvPr>
        <xdr:cNvSpPr/>
      </xdr:nvSpPr>
      <xdr:spPr>
        <a:xfrm>
          <a:off x="12588240" y="472440"/>
          <a:ext cx="106680" cy="617220"/>
        </a:xfrm>
        <a:prstGeom prst="rect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236220</xdr:colOff>
      <xdr:row>9</xdr:row>
      <xdr:rowOff>68580</xdr:rowOff>
    </xdr:from>
    <xdr:to>
      <xdr:col>13</xdr:col>
      <xdr:colOff>358140</xdr:colOff>
      <xdr:row>9</xdr:row>
      <xdr:rowOff>68580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FCE46BF0-7407-47BB-8D46-F8D96C7B1E06}"/>
            </a:ext>
          </a:extLst>
        </xdr:cNvPr>
        <xdr:cNvCxnSpPr/>
      </xdr:nvCxnSpPr>
      <xdr:spPr>
        <a:xfrm flipH="1">
          <a:off x="8686800" y="1714500"/>
          <a:ext cx="73152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8</xdr:row>
      <xdr:rowOff>72390</xdr:rowOff>
    </xdr:from>
    <xdr:to>
      <xdr:col>15</xdr:col>
      <xdr:colOff>403860</xdr:colOff>
      <xdr:row>8</xdr:row>
      <xdr:rowOff>76200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7FB8C69-5C30-45B8-A0EB-79AE80FDD571}"/>
            </a:ext>
          </a:extLst>
        </xdr:cNvPr>
        <xdr:cNvCxnSpPr>
          <a:stCxn id="4" idx="1"/>
        </xdr:cNvCxnSpPr>
      </xdr:nvCxnSpPr>
      <xdr:spPr>
        <a:xfrm flipH="1">
          <a:off x="7879080" y="1535430"/>
          <a:ext cx="2804160" cy="381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342900</xdr:colOff>
      <xdr:row>7</xdr:row>
      <xdr:rowOff>68580</xdr:rowOff>
    </xdr:from>
    <xdr:to>
      <xdr:col>15</xdr:col>
      <xdr:colOff>396240</xdr:colOff>
      <xdr:row>7</xdr:row>
      <xdr:rowOff>80010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CF21F42E-E6C0-4095-A816-B48D84EEF102}"/>
            </a:ext>
          </a:extLst>
        </xdr:cNvPr>
        <xdr:cNvCxnSpPr/>
      </xdr:nvCxnSpPr>
      <xdr:spPr>
        <a:xfrm flipH="1" flipV="1">
          <a:off x="8793480" y="1348740"/>
          <a:ext cx="1882140" cy="1143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274320</xdr:colOff>
      <xdr:row>2</xdr:row>
      <xdr:rowOff>99060</xdr:rowOff>
    </xdr:from>
    <xdr:to>
      <xdr:col>14</xdr:col>
      <xdr:colOff>30480</xdr:colOff>
      <xdr:row>6</xdr:row>
      <xdr:rowOff>167640</xdr:rowOff>
    </xdr:to>
    <xdr:sp macro="" textlink="">
      <xdr:nvSpPr>
        <xdr:cNvPr id="32" name="Left Brace 31">
          <a:extLst>
            <a:ext uri="{FF2B5EF4-FFF2-40B4-BE49-F238E27FC236}">
              <a16:creationId xmlns:a16="http://schemas.microsoft.com/office/drawing/2014/main" id="{A61F83A0-EB7E-4DE0-AF43-1600A6F74D9A}"/>
            </a:ext>
          </a:extLst>
        </xdr:cNvPr>
        <xdr:cNvSpPr/>
      </xdr:nvSpPr>
      <xdr:spPr>
        <a:xfrm>
          <a:off x="9334500" y="464820"/>
          <a:ext cx="365760" cy="800100"/>
        </a:xfrm>
        <a:prstGeom prst="leftBrac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175260</xdr:colOff>
      <xdr:row>3</xdr:row>
      <xdr:rowOff>152400</xdr:rowOff>
    </xdr:from>
    <xdr:to>
      <xdr:col>13</xdr:col>
      <xdr:colOff>335280</xdr:colOff>
      <xdr:row>6</xdr:row>
      <xdr:rowOff>30480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7488E563-72C5-49CC-A05B-36D3D8911F65}"/>
            </a:ext>
          </a:extLst>
        </xdr:cNvPr>
        <xdr:cNvSpPr txBox="1"/>
      </xdr:nvSpPr>
      <xdr:spPr>
        <a:xfrm>
          <a:off x="9486900" y="701040"/>
          <a:ext cx="1379220" cy="426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Heat Sink (hs)</a:t>
          </a:r>
        </a:p>
      </xdr:txBody>
    </xdr:sp>
    <xdr:clientData/>
  </xdr:twoCellAnchor>
  <xdr:twoCellAnchor>
    <xdr:from>
      <xdr:col>11</xdr:col>
      <xdr:colOff>487680</xdr:colOff>
      <xdr:row>6</xdr:row>
      <xdr:rowOff>76200</xdr:rowOff>
    </xdr:from>
    <xdr:to>
      <xdr:col>13</xdr:col>
      <xdr:colOff>312420</xdr:colOff>
      <xdr:row>7</xdr:row>
      <xdr:rowOff>152400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92CB7A6-E339-489A-AB52-CAB3EEB43458}"/>
            </a:ext>
          </a:extLst>
        </xdr:cNvPr>
        <xdr:cNvSpPr txBox="1"/>
      </xdr:nvSpPr>
      <xdr:spPr>
        <a:xfrm>
          <a:off x="8328660" y="1173480"/>
          <a:ext cx="10439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TIM</a:t>
          </a:r>
        </a:p>
      </xdr:txBody>
    </xdr:sp>
    <xdr:clientData/>
  </xdr:twoCellAnchor>
  <xdr:twoCellAnchor>
    <xdr:from>
      <xdr:col>9</xdr:col>
      <xdr:colOff>60960</xdr:colOff>
      <xdr:row>7</xdr:row>
      <xdr:rowOff>106680</xdr:rowOff>
    </xdr:from>
    <xdr:to>
      <xdr:col>11</xdr:col>
      <xdr:colOff>106680</xdr:colOff>
      <xdr:row>9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A5173B-D6C8-4585-AA30-376E1038FFF2}"/>
            </a:ext>
          </a:extLst>
        </xdr:cNvPr>
        <xdr:cNvSpPr txBox="1"/>
      </xdr:nvSpPr>
      <xdr:spPr>
        <a:xfrm>
          <a:off x="8153400" y="1386840"/>
          <a:ext cx="126492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Chip</a:t>
          </a:r>
          <a:r>
            <a:rPr lang="en-IN" sz="1600" b="1" baseline="0"/>
            <a:t> Case (c)</a:t>
          </a:r>
          <a:endParaRPr lang="en-IN" sz="1600" b="1"/>
        </a:p>
      </xdr:txBody>
    </xdr:sp>
    <xdr:clientData/>
  </xdr:twoCellAnchor>
  <xdr:twoCellAnchor>
    <xdr:from>
      <xdr:col>17</xdr:col>
      <xdr:colOff>175260</xdr:colOff>
      <xdr:row>8</xdr:row>
      <xdr:rowOff>76200</xdr:rowOff>
    </xdr:from>
    <xdr:to>
      <xdr:col>19</xdr:col>
      <xdr:colOff>30480</xdr:colOff>
      <xdr:row>8</xdr:row>
      <xdr:rowOff>76200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09ED663-E442-4768-A6F2-02877CA9D3DE}"/>
            </a:ext>
          </a:extLst>
        </xdr:cNvPr>
        <xdr:cNvCxnSpPr/>
      </xdr:nvCxnSpPr>
      <xdr:spPr>
        <a:xfrm>
          <a:off x="11673840" y="1539240"/>
          <a:ext cx="1074420" cy="0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7620</xdr:colOff>
      <xdr:row>7</xdr:row>
      <xdr:rowOff>68580</xdr:rowOff>
    </xdr:from>
    <xdr:to>
      <xdr:col>21</xdr:col>
      <xdr:colOff>22860</xdr:colOff>
      <xdr:row>9</xdr:row>
      <xdr:rowOff>53340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DF9996C-1164-4911-AACA-DE0FCE4E148E}"/>
            </a:ext>
          </a:extLst>
        </xdr:cNvPr>
        <xdr:cNvSpPr txBox="1"/>
      </xdr:nvSpPr>
      <xdr:spPr>
        <a:xfrm>
          <a:off x="14196060" y="1348740"/>
          <a:ext cx="1234440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Junction(j)</a:t>
          </a:r>
        </a:p>
      </xdr:txBody>
    </xdr:sp>
    <xdr:clientData/>
  </xdr:twoCellAnchor>
  <xdr:twoCellAnchor>
    <xdr:from>
      <xdr:col>9</xdr:col>
      <xdr:colOff>541020</xdr:colOff>
      <xdr:row>14</xdr:row>
      <xdr:rowOff>114300</xdr:rowOff>
    </xdr:from>
    <xdr:to>
      <xdr:col>10</xdr:col>
      <xdr:colOff>68580</xdr:colOff>
      <xdr:row>15</xdr:row>
      <xdr:rowOff>76200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BDB0FFB7-B23B-4199-B01A-3940E6017261}"/>
            </a:ext>
          </a:extLst>
        </xdr:cNvPr>
        <xdr:cNvSpPr/>
      </xdr:nvSpPr>
      <xdr:spPr>
        <a:xfrm>
          <a:off x="7162800" y="2674620"/>
          <a:ext cx="13716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541020</xdr:colOff>
      <xdr:row>14</xdr:row>
      <xdr:rowOff>114300</xdr:rowOff>
    </xdr:from>
    <xdr:to>
      <xdr:col>13</xdr:col>
      <xdr:colOff>68580</xdr:colOff>
      <xdr:row>15</xdr:row>
      <xdr:rowOff>76200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CF3EBA5A-2969-4D72-8DFE-2140E3666341}"/>
            </a:ext>
          </a:extLst>
        </xdr:cNvPr>
        <xdr:cNvSpPr/>
      </xdr:nvSpPr>
      <xdr:spPr>
        <a:xfrm>
          <a:off x="8991600" y="2674620"/>
          <a:ext cx="13716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541020</xdr:colOff>
      <xdr:row>14</xdr:row>
      <xdr:rowOff>114300</xdr:rowOff>
    </xdr:from>
    <xdr:to>
      <xdr:col>16</xdr:col>
      <xdr:colOff>68580</xdr:colOff>
      <xdr:row>15</xdr:row>
      <xdr:rowOff>76200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57AE6A09-4FAA-4967-8502-0B83B3C92A3D}"/>
            </a:ext>
          </a:extLst>
        </xdr:cNvPr>
        <xdr:cNvSpPr/>
      </xdr:nvSpPr>
      <xdr:spPr>
        <a:xfrm>
          <a:off x="10820400" y="2674620"/>
          <a:ext cx="13716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541020</xdr:colOff>
      <xdr:row>14</xdr:row>
      <xdr:rowOff>114300</xdr:rowOff>
    </xdr:from>
    <xdr:to>
      <xdr:col>19</xdr:col>
      <xdr:colOff>68580</xdr:colOff>
      <xdr:row>15</xdr:row>
      <xdr:rowOff>76200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E98D9D57-5A8A-4932-A406-6D1C61822C5B}"/>
            </a:ext>
          </a:extLst>
        </xdr:cNvPr>
        <xdr:cNvSpPr/>
      </xdr:nvSpPr>
      <xdr:spPr>
        <a:xfrm>
          <a:off x="12649200" y="2674620"/>
          <a:ext cx="137160" cy="1447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68580</xdr:colOff>
      <xdr:row>14</xdr:row>
      <xdr:rowOff>15240</xdr:rowOff>
    </xdr:from>
    <xdr:to>
      <xdr:col>12</xdr:col>
      <xdr:colOff>548640</xdr:colOff>
      <xdr:row>15</xdr:row>
      <xdr:rowOff>175260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5B1CDCA0-A548-4AD5-AC8C-ED31825C5740}"/>
            </a:ext>
          </a:extLst>
        </xdr:cNvPr>
        <xdr:cNvSpPr/>
      </xdr:nvSpPr>
      <xdr:spPr>
        <a:xfrm>
          <a:off x="7299960" y="2575560"/>
          <a:ext cx="1699260" cy="342900"/>
        </a:xfrm>
        <a:custGeom>
          <a:avLst/>
          <a:gdLst>
            <a:gd name="connsiteX0" fmla="*/ 0 w 1699260"/>
            <a:gd name="connsiteY0" fmla="*/ 175260 h 342900"/>
            <a:gd name="connsiteX1" fmla="*/ 548640 w 1699260"/>
            <a:gd name="connsiteY1" fmla="*/ 182880 h 342900"/>
            <a:gd name="connsiteX2" fmla="*/ 701040 w 1699260"/>
            <a:gd name="connsiteY2" fmla="*/ 0 h 342900"/>
            <a:gd name="connsiteX3" fmla="*/ 876300 w 1699260"/>
            <a:gd name="connsiteY3" fmla="*/ 342900 h 342900"/>
            <a:gd name="connsiteX4" fmla="*/ 1066800 w 1699260"/>
            <a:gd name="connsiteY4" fmla="*/ 7620 h 342900"/>
            <a:gd name="connsiteX5" fmla="*/ 1165860 w 1699260"/>
            <a:gd name="connsiteY5" fmla="*/ 190500 h 342900"/>
            <a:gd name="connsiteX6" fmla="*/ 1699260 w 1699260"/>
            <a:gd name="connsiteY6" fmla="*/ 175260 h 3429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699260" h="342900">
              <a:moveTo>
                <a:pt x="0" y="175260"/>
              </a:moveTo>
              <a:lnTo>
                <a:pt x="548640" y="182880"/>
              </a:lnTo>
              <a:lnTo>
                <a:pt x="701040" y="0"/>
              </a:lnTo>
              <a:lnTo>
                <a:pt x="876300" y="342900"/>
              </a:lnTo>
              <a:lnTo>
                <a:pt x="1066800" y="7620"/>
              </a:lnTo>
              <a:lnTo>
                <a:pt x="1165860" y="190500"/>
              </a:lnTo>
              <a:lnTo>
                <a:pt x="1699260" y="175260"/>
              </a:ln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76200</xdr:colOff>
      <xdr:row>14</xdr:row>
      <xdr:rowOff>15240</xdr:rowOff>
    </xdr:from>
    <xdr:to>
      <xdr:col>15</xdr:col>
      <xdr:colOff>556260</xdr:colOff>
      <xdr:row>15</xdr:row>
      <xdr:rowOff>175260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07477124-BAA8-4922-B21F-9A39E9F99224}"/>
            </a:ext>
          </a:extLst>
        </xdr:cNvPr>
        <xdr:cNvSpPr/>
      </xdr:nvSpPr>
      <xdr:spPr>
        <a:xfrm>
          <a:off x="9136380" y="2575560"/>
          <a:ext cx="1699260" cy="342900"/>
        </a:xfrm>
        <a:custGeom>
          <a:avLst/>
          <a:gdLst>
            <a:gd name="connsiteX0" fmla="*/ 0 w 1699260"/>
            <a:gd name="connsiteY0" fmla="*/ 175260 h 342900"/>
            <a:gd name="connsiteX1" fmla="*/ 548640 w 1699260"/>
            <a:gd name="connsiteY1" fmla="*/ 182880 h 342900"/>
            <a:gd name="connsiteX2" fmla="*/ 701040 w 1699260"/>
            <a:gd name="connsiteY2" fmla="*/ 0 h 342900"/>
            <a:gd name="connsiteX3" fmla="*/ 876300 w 1699260"/>
            <a:gd name="connsiteY3" fmla="*/ 342900 h 342900"/>
            <a:gd name="connsiteX4" fmla="*/ 1066800 w 1699260"/>
            <a:gd name="connsiteY4" fmla="*/ 7620 h 342900"/>
            <a:gd name="connsiteX5" fmla="*/ 1165860 w 1699260"/>
            <a:gd name="connsiteY5" fmla="*/ 190500 h 342900"/>
            <a:gd name="connsiteX6" fmla="*/ 1699260 w 1699260"/>
            <a:gd name="connsiteY6" fmla="*/ 175260 h 3429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699260" h="342900">
              <a:moveTo>
                <a:pt x="0" y="175260"/>
              </a:moveTo>
              <a:lnTo>
                <a:pt x="548640" y="182880"/>
              </a:lnTo>
              <a:lnTo>
                <a:pt x="701040" y="0"/>
              </a:lnTo>
              <a:lnTo>
                <a:pt x="876300" y="342900"/>
              </a:lnTo>
              <a:lnTo>
                <a:pt x="1066800" y="7620"/>
              </a:lnTo>
              <a:lnTo>
                <a:pt x="1165860" y="190500"/>
              </a:lnTo>
              <a:lnTo>
                <a:pt x="1699260" y="175260"/>
              </a:ln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83820</xdr:colOff>
      <xdr:row>14</xdr:row>
      <xdr:rowOff>15240</xdr:rowOff>
    </xdr:from>
    <xdr:to>
      <xdr:col>18</xdr:col>
      <xdr:colOff>563880</xdr:colOff>
      <xdr:row>15</xdr:row>
      <xdr:rowOff>175260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B1CF2C83-8D0A-426C-8E51-3DF511D38FCF}"/>
            </a:ext>
          </a:extLst>
        </xdr:cNvPr>
        <xdr:cNvSpPr/>
      </xdr:nvSpPr>
      <xdr:spPr>
        <a:xfrm>
          <a:off x="10972800" y="2575560"/>
          <a:ext cx="1699260" cy="342900"/>
        </a:xfrm>
        <a:custGeom>
          <a:avLst/>
          <a:gdLst>
            <a:gd name="connsiteX0" fmla="*/ 0 w 1699260"/>
            <a:gd name="connsiteY0" fmla="*/ 175260 h 342900"/>
            <a:gd name="connsiteX1" fmla="*/ 548640 w 1699260"/>
            <a:gd name="connsiteY1" fmla="*/ 182880 h 342900"/>
            <a:gd name="connsiteX2" fmla="*/ 701040 w 1699260"/>
            <a:gd name="connsiteY2" fmla="*/ 0 h 342900"/>
            <a:gd name="connsiteX3" fmla="*/ 876300 w 1699260"/>
            <a:gd name="connsiteY3" fmla="*/ 342900 h 342900"/>
            <a:gd name="connsiteX4" fmla="*/ 1066800 w 1699260"/>
            <a:gd name="connsiteY4" fmla="*/ 7620 h 342900"/>
            <a:gd name="connsiteX5" fmla="*/ 1165860 w 1699260"/>
            <a:gd name="connsiteY5" fmla="*/ 190500 h 342900"/>
            <a:gd name="connsiteX6" fmla="*/ 1699260 w 1699260"/>
            <a:gd name="connsiteY6" fmla="*/ 175260 h 3429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699260" h="342900">
              <a:moveTo>
                <a:pt x="0" y="175260"/>
              </a:moveTo>
              <a:lnTo>
                <a:pt x="548640" y="182880"/>
              </a:lnTo>
              <a:lnTo>
                <a:pt x="701040" y="0"/>
              </a:lnTo>
              <a:lnTo>
                <a:pt x="876300" y="342900"/>
              </a:lnTo>
              <a:lnTo>
                <a:pt x="1066800" y="7620"/>
              </a:lnTo>
              <a:lnTo>
                <a:pt x="1165860" y="190500"/>
              </a:lnTo>
              <a:lnTo>
                <a:pt x="1699260" y="175260"/>
              </a:ln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480060</xdr:colOff>
      <xdr:row>12</xdr:row>
      <xdr:rowOff>95250</xdr:rowOff>
    </xdr:from>
    <xdr:ext cx="265136" cy="3330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FD51731-75F0-4317-AAD0-8B00FA0E16C4}"/>
                </a:ext>
              </a:extLst>
            </xdr:cNvPr>
            <xdr:cNvSpPr txBox="1"/>
          </xdr:nvSpPr>
          <xdr:spPr>
            <a:xfrm>
              <a:off x="7101840" y="2289810"/>
              <a:ext cx="265136" cy="33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AFD51731-75F0-4317-AAD0-8B00FA0E16C4}"/>
                </a:ext>
              </a:extLst>
            </xdr:cNvPr>
            <xdr:cNvSpPr txBox="1"/>
          </xdr:nvSpPr>
          <xdr:spPr>
            <a:xfrm>
              <a:off x="7101840" y="2289810"/>
              <a:ext cx="265136" cy="33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2000" b="0" i="0">
                  <a:latin typeface="Cambria Math" panose="02040503050406030204" pitchFamily="18" charset="0"/>
                </a:rPr>
                <a:t>𝑇_𝑗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12</xdr:col>
      <xdr:colOff>502920</xdr:colOff>
      <xdr:row>12</xdr:row>
      <xdr:rowOff>80010</xdr:rowOff>
    </xdr:from>
    <xdr:ext cx="286682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D3B8FD42-729C-4DD6-A2C0-ECBDD9ED0E65}"/>
                </a:ext>
              </a:extLst>
            </xdr:cNvPr>
            <xdr:cNvSpPr txBox="1"/>
          </xdr:nvSpPr>
          <xdr:spPr>
            <a:xfrm>
              <a:off x="8953500" y="2274570"/>
              <a:ext cx="286682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𝑐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D3B8FD42-729C-4DD6-A2C0-ECBDD9ED0E65}"/>
                </a:ext>
              </a:extLst>
            </xdr:cNvPr>
            <xdr:cNvSpPr txBox="1"/>
          </xdr:nvSpPr>
          <xdr:spPr>
            <a:xfrm>
              <a:off x="8953500" y="2274570"/>
              <a:ext cx="286682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2000" b="0" i="0">
                  <a:latin typeface="Cambria Math" panose="02040503050406030204" pitchFamily="18" charset="0"/>
                </a:rPr>
                <a:t>𝑇_𝑐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15</xdr:col>
      <xdr:colOff>502920</xdr:colOff>
      <xdr:row>12</xdr:row>
      <xdr:rowOff>110490</xdr:rowOff>
    </xdr:from>
    <xdr:ext cx="404534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AB55A38C-A4B2-49EA-ADB6-82B27CB9EFB7}"/>
                </a:ext>
              </a:extLst>
            </xdr:cNvPr>
            <xdr:cNvSpPr txBox="1"/>
          </xdr:nvSpPr>
          <xdr:spPr>
            <a:xfrm>
              <a:off x="10782300" y="2305050"/>
              <a:ext cx="404534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h𝑠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AB55A38C-A4B2-49EA-ADB6-82B27CB9EFB7}"/>
                </a:ext>
              </a:extLst>
            </xdr:cNvPr>
            <xdr:cNvSpPr txBox="1"/>
          </xdr:nvSpPr>
          <xdr:spPr>
            <a:xfrm>
              <a:off x="10782300" y="2305050"/>
              <a:ext cx="404534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2000" b="0" i="0">
                  <a:latin typeface="Cambria Math" panose="02040503050406030204" pitchFamily="18" charset="0"/>
                </a:rPr>
                <a:t>𝑇_ℎ𝑠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18</xdr:col>
      <xdr:colOff>403860</xdr:colOff>
      <xdr:row>12</xdr:row>
      <xdr:rowOff>80010</xdr:rowOff>
    </xdr:from>
    <xdr:ext cx="307713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5748392A-36CB-44B0-966D-76270BD128EF}"/>
                </a:ext>
              </a:extLst>
            </xdr:cNvPr>
            <xdr:cNvSpPr txBox="1"/>
          </xdr:nvSpPr>
          <xdr:spPr>
            <a:xfrm>
              <a:off x="12512040" y="2274570"/>
              <a:ext cx="307713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5748392A-36CB-44B0-966D-76270BD128EF}"/>
                </a:ext>
              </a:extLst>
            </xdr:cNvPr>
            <xdr:cNvSpPr txBox="1"/>
          </xdr:nvSpPr>
          <xdr:spPr>
            <a:xfrm>
              <a:off x="12512040" y="2274570"/>
              <a:ext cx="307713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2000" b="0" i="0">
                  <a:latin typeface="Cambria Math" panose="02040503050406030204" pitchFamily="18" charset="0"/>
                </a:rPr>
                <a:t>𝑇_𝑎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11</xdr:col>
      <xdr:colOff>228600</xdr:colOff>
      <xdr:row>16</xdr:row>
      <xdr:rowOff>11430</xdr:rowOff>
    </xdr:from>
    <xdr:ext cx="393185" cy="3330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5317CE7A-4D1C-46F5-A8F3-48985AEA64F6}"/>
                </a:ext>
              </a:extLst>
            </xdr:cNvPr>
            <xdr:cNvSpPr txBox="1"/>
          </xdr:nvSpPr>
          <xdr:spPr>
            <a:xfrm>
              <a:off x="8069580" y="2937510"/>
              <a:ext cx="393185" cy="33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𝑗𝑐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5317CE7A-4D1C-46F5-A8F3-48985AEA64F6}"/>
                </a:ext>
              </a:extLst>
            </xdr:cNvPr>
            <xdr:cNvSpPr txBox="1"/>
          </xdr:nvSpPr>
          <xdr:spPr>
            <a:xfrm>
              <a:off x="8069580" y="2937510"/>
              <a:ext cx="393185" cy="33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2000" b="0" i="0">
                  <a:latin typeface="Cambria Math" panose="02040503050406030204" pitchFamily="18" charset="0"/>
                </a:rPr>
                <a:t>𝑅_𝑗𝑐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14</xdr:col>
      <xdr:colOff>228600</xdr:colOff>
      <xdr:row>16</xdr:row>
      <xdr:rowOff>26670</xdr:rowOff>
    </xdr:from>
    <xdr:ext cx="594330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A1C2465-AB2D-44F6-963A-6CD200121A91}"/>
                </a:ext>
              </a:extLst>
            </xdr:cNvPr>
            <xdr:cNvSpPr txBox="1"/>
          </xdr:nvSpPr>
          <xdr:spPr>
            <a:xfrm>
              <a:off x="9898380" y="2952750"/>
              <a:ext cx="594330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𝑇𝐼𝑀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9A1C2465-AB2D-44F6-963A-6CD200121A91}"/>
                </a:ext>
              </a:extLst>
            </xdr:cNvPr>
            <xdr:cNvSpPr txBox="1"/>
          </xdr:nvSpPr>
          <xdr:spPr>
            <a:xfrm>
              <a:off x="9898380" y="2952750"/>
              <a:ext cx="594330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2000" b="0" i="0">
                  <a:latin typeface="Cambria Math" panose="02040503050406030204" pitchFamily="18" charset="0"/>
                </a:rPr>
                <a:t>𝑅_𝑇𝐼𝑀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17</xdr:col>
      <xdr:colOff>228600</xdr:colOff>
      <xdr:row>16</xdr:row>
      <xdr:rowOff>41910</xdr:rowOff>
    </xdr:from>
    <xdr:ext cx="438518" cy="3130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DB091E4-1AB7-43E4-BA0C-A740B0EA851D}"/>
                </a:ext>
              </a:extLst>
            </xdr:cNvPr>
            <xdr:cNvSpPr txBox="1"/>
          </xdr:nvSpPr>
          <xdr:spPr>
            <a:xfrm>
              <a:off x="11727180" y="2967990"/>
              <a:ext cx="438518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h𝑠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4DB091E4-1AB7-43E4-BA0C-A740B0EA851D}"/>
                </a:ext>
              </a:extLst>
            </xdr:cNvPr>
            <xdr:cNvSpPr txBox="1"/>
          </xdr:nvSpPr>
          <xdr:spPr>
            <a:xfrm>
              <a:off x="11727180" y="2967990"/>
              <a:ext cx="438518" cy="3130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2000" b="0" i="0">
                  <a:latin typeface="Cambria Math" panose="02040503050406030204" pitchFamily="18" charset="0"/>
                </a:rPr>
                <a:t>𝑅_ℎ𝑠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7</xdr:col>
      <xdr:colOff>861060</xdr:colOff>
      <xdr:row>1</xdr:row>
      <xdr:rowOff>3810</xdr:rowOff>
    </xdr:from>
    <xdr:ext cx="2930802" cy="3330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4D216EAD-8353-4CFA-9B1F-34D0EA699457}"/>
                </a:ext>
              </a:extLst>
            </xdr:cNvPr>
            <xdr:cNvSpPr txBox="1"/>
          </xdr:nvSpPr>
          <xdr:spPr>
            <a:xfrm>
              <a:off x="6789420" y="186690"/>
              <a:ext cx="2930802" cy="33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IN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𝑗𝑐</m:t>
                        </m:r>
                      </m:sub>
                    </m:sSub>
                    <m:r>
                      <a:rPr lang="en-IN" sz="20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𝑇𝐼𝑀</m:t>
                        </m:r>
                      </m:sub>
                    </m:sSub>
                    <m:r>
                      <a:rPr lang="en-IN" sz="20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IN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IN" sz="2000" b="0" i="1">
                            <a:latin typeface="Cambria Math" panose="02040503050406030204" pitchFamily="18" charset="0"/>
                          </a:rPr>
                          <m:t>h𝑠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4D216EAD-8353-4CFA-9B1F-34D0EA699457}"/>
                </a:ext>
              </a:extLst>
            </xdr:cNvPr>
            <xdr:cNvSpPr txBox="1"/>
          </xdr:nvSpPr>
          <xdr:spPr>
            <a:xfrm>
              <a:off x="6789420" y="186690"/>
              <a:ext cx="2930802" cy="333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N" sz="2000" b="0" i="0">
                  <a:latin typeface="Cambria Math" panose="02040503050406030204" pitchFamily="18" charset="0"/>
                </a:rPr>
                <a:t>𝑅_(𝑡𝑜𝑡𝑎𝑙 )=𝑅_𝑗𝑐+𝑅_𝑇𝐼𝑀+𝑅_ℎ𝑠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7</xdr:col>
      <xdr:colOff>1310640</xdr:colOff>
      <xdr:row>2</xdr:row>
      <xdr:rowOff>133350</xdr:rowOff>
    </xdr:from>
    <xdr:ext cx="2667000" cy="785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19973F0-63AD-41D8-A177-D4E5DBF38683}"/>
                </a:ext>
              </a:extLst>
            </xdr:cNvPr>
            <xdr:cNvSpPr txBox="1"/>
          </xdr:nvSpPr>
          <xdr:spPr>
            <a:xfrm>
              <a:off x="7239000" y="514350"/>
              <a:ext cx="2667000" cy="785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GB" sz="2000" b="0" i="1">
                        <a:latin typeface="Cambria Math" panose="02040503050406030204" pitchFamily="18" charset="0"/>
                      </a:rPr>
                      <m:t>𝑊h𝑒𝑟𝑒</m:t>
                    </m:r>
                    <m:r>
                      <a:rPr lang="en-GB" sz="2000" b="0" i="1">
                        <a:latin typeface="Cambria Math" panose="02040503050406030204" pitchFamily="18" charset="0"/>
                      </a:rPr>
                      <m:t>, </m:t>
                    </m:r>
                  </m:oMath>
                </m:oMathPara>
              </a14:m>
              <a:endParaRPr lang="en-GB" sz="20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h𝑠</m:t>
                        </m:r>
                      </m:sub>
                    </m:sSub>
                    <m:r>
                      <a:rPr lang="en-GB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GB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𝑐𝑜𝑛𝑑</m:t>
                        </m:r>
                      </m:sub>
                    </m:sSub>
                    <m:r>
                      <a:rPr lang="en-GB" sz="20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GB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𝑐𝑜𝑛𝑣</m:t>
                        </m:r>
                      </m:sub>
                    </m:sSub>
                  </m:oMath>
                </m:oMathPara>
              </a14:m>
              <a:endParaRPr lang="en-GB" sz="2000" b="0"/>
            </a:p>
            <a:p>
              <a:endParaRPr lang="en-IN" sz="1100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019973F0-63AD-41D8-A177-D4E5DBF38683}"/>
                </a:ext>
              </a:extLst>
            </xdr:cNvPr>
            <xdr:cNvSpPr txBox="1"/>
          </xdr:nvSpPr>
          <xdr:spPr>
            <a:xfrm>
              <a:off x="7239000" y="514350"/>
              <a:ext cx="2667000" cy="785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2000" b="0" i="0">
                  <a:latin typeface="Cambria Math" panose="02040503050406030204" pitchFamily="18" charset="0"/>
                </a:rPr>
                <a:t>𝑊ℎ𝑒𝑟𝑒, </a:t>
              </a:r>
              <a:endParaRPr lang="en-GB" sz="2000" b="0" i="1">
                <a:latin typeface="Cambria Math" panose="02040503050406030204" pitchFamily="18" charset="0"/>
              </a:endParaRPr>
            </a:p>
            <a:p>
              <a:pPr/>
              <a:r>
                <a:rPr lang="en-GB" sz="2000" b="0" i="0">
                  <a:latin typeface="Cambria Math" panose="02040503050406030204" pitchFamily="18" charset="0"/>
                </a:rPr>
                <a:t>𝑅_ℎ𝑠=𝑅_𝑐𝑜𝑛𝑑+𝑅_𝑐𝑜𝑛𝑣</a:t>
              </a:r>
              <a:endParaRPr lang="en-GB" sz="2000" b="0"/>
            </a:p>
            <a:p>
              <a:endParaRPr lang="en-IN" sz="1100"/>
            </a:p>
          </xdr:txBody>
        </xdr:sp>
      </mc:Fallback>
    </mc:AlternateContent>
    <xdr:clientData/>
  </xdr:oneCellAnchor>
  <xdr:twoCellAnchor>
    <xdr:from>
      <xdr:col>2</xdr:col>
      <xdr:colOff>160020</xdr:colOff>
      <xdr:row>6</xdr:row>
      <xdr:rowOff>68580</xdr:rowOff>
    </xdr:from>
    <xdr:to>
      <xdr:col>2</xdr:col>
      <xdr:colOff>381000</xdr:colOff>
      <xdr:row>9</xdr:row>
      <xdr:rowOff>60960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D2EBD1B9-1CAF-40D6-92D0-68B580A80125}"/>
            </a:ext>
          </a:extLst>
        </xdr:cNvPr>
        <xdr:cNvSpPr/>
      </xdr:nvSpPr>
      <xdr:spPr>
        <a:xfrm>
          <a:off x="3040380" y="1242060"/>
          <a:ext cx="220980" cy="5410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1524000</xdr:colOff>
      <xdr:row>30</xdr:row>
      <xdr:rowOff>152400</xdr:rowOff>
    </xdr:from>
    <xdr:to>
      <xdr:col>7</xdr:col>
      <xdr:colOff>1744980</xdr:colOff>
      <xdr:row>33</xdr:row>
      <xdr:rowOff>144780</xdr:rowOff>
    </xdr:to>
    <xdr:sp macro="" textlink="">
      <xdr:nvSpPr>
        <xdr:cNvPr id="52" name="Arrow: Down 51">
          <a:extLst>
            <a:ext uri="{FF2B5EF4-FFF2-40B4-BE49-F238E27FC236}">
              <a16:creationId xmlns:a16="http://schemas.microsoft.com/office/drawing/2014/main" id="{0D665D63-9095-48FE-A2D0-9FD976EC5847}"/>
            </a:ext>
          </a:extLst>
        </xdr:cNvPr>
        <xdr:cNvSpPr/>
      </xdr:nvSpPr>
      <xdr:spPr>
        <a:xfrm>
          <a:off x="8061960" y="5958840"/>
          <a:ext cx="220980" cy="5410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83820</xdr:colOff>
      <xdr:row>22</xdr:row>
      <xdr:rowOff>152400</xdr:rowOff>
    </xdr:from>
    <xdr:to>
      <xdr:col>6</xdr:col>
      <xdr:colOff>525780</xdr:colOff>
      <xdr:row>23</xdr:row>
      <xdr:rowOff>137160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CCE99527-9905-4385-BF24-CCE5FD991873}"/>
            </a:ext>
          </a:extLst>
        </xdr:cNvPr>
        <xdr:cNvSpPr/>
      </xdr:nvSpPr>
      <xdr:spPr>
        <a:xfrm>
          <a:off x="6012180" y="4373880"/>
          <a:ext cx="441960" cy="281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46"/>
  <sheetViews>
    <sheetView tabSelected="1" zoomScaleNormal="100" workbookViewId="0">
      <selection activeCell="H41" sqref="H41"/>
    </sheetView>
  </sheetViews>
  <sheetFormatPr defaultRowHeight="15" x14ac:dyDescent="0.25"/>
  <cols>
    <col min="1" max="1" width="18.28515625" bestFit="1" customWidth="1"/>
    <col min="2" max="2" width="23.7109375" bestFit="1" customWidth="1"/>
    <col min="4" max="4" width="17.7109375" bestFit="1" customWidth="1"/>
    <col min="8" max="8" width="30.28515625" bestFit="1" customWidth="1"/>
  </cols>
  <sheetData>
    <row r="2" spans="1:6" ht="15.75" x14ac:dyDescent="0.25">
      <c r="B2" s="38" t="s">
        <v>4</v>
      </c>
      <c r="C2" s="39"/>
      <c r="D2" s="39"/>
      <c r="E2" s="39"/>
      <c r="F2" s="40"/>
    </row>
    <row r="3" spans="1:6" ht="15.75" x14ac:dyDescent="0.25">
      <c r="B3" s="3" t="s">
        <v>5</v>
      </c>
      <c r="C3" s="3">
        <v>52.5</v>
      </c>
      <c r="D3" s="3" t="s">
        <v>0</v>
      </c>
      <c r="E3" s="3">
        <f>CONVERT(C3,"mm","m")</f>
        <v>5.2499999999999998E-2</v>
      </c>
      <c r="F3" s="3" t="s">
        <v>3</v>
      </c>
    </row>
    <row r="4" spans="1:6" ht="15.75" x14ac:dyDescent="0.25">
      <c r="B4" s="3" t="s">
        <v>6</v>
      </c>
      <c r="C4" s="3">
        <v>45</v>
      </c>
      <c r="D4" s="3" t="s">
        <v>0</v>
      </c>
      <c r="E4" s="3">
        <f t="shared" ref="E4:E5" si="0">CONVERT(C4,"mm","m")</f>
        <v>4.4999999999999998E-2</v>
      </c>
      <c r="F4" s="3" t="s">
        <v>3</v>
      </c>
    </row>
    <row r="5" spans="1:6" ht="15.75" x14ac:dyDescent="0.25">
      <c r="B5" s="3" t="s">
        <v>7</v>
      </c>
      <c r="C5" s="3">
        <v>2.2000000000000002</v>
      </c>
      <c r="D5" s="3" t="s">
        <v>0</v>
      </c>
      <c r="E5" s="3">
        <f t="shared" si="0"/>
        <v>2.2000000000000001E-3</v>
      </c>
      <c r="F5" s="3" t="s">
        <v>3</v>
      </c>
    </row>
    <row r="6" spans="1:6" ht="15.75" x14ac:dyDescent="0.25">
      <c r="B6" s="3" t="s">
        <v>8</v>
      </c>
      <c r="C6" s="3">
        <f>C3*C4</f>
        <v>2362.5</v>
      </c>
      <c r="D6" s="3" t="s">
        <v>9</v>
      </c>
      <c r="E6" s="3">
        <f>CONVERT(C6,"mm2","m2")</f>
        <v>2.3625E-3</v>
      </c>
      <c r="F6" s="3" t="s">
        <v>10</v>
      </c>
    </row>
    <row r="11" spans="1:6" x14ac:dyDescent="0.25">
      <c r="A11" s="35" t="s">
        <v>11</v>
      </c>
      <c r="B11" s="36"/>
      <c r="C11" s="36"/>
      <c r="D11" s="36"/>
      <c r="E11" s="36"/>
      <c r="F11" s="37"/>
    </row>
    <row r="12" spans="1:6" x14ac:dyDescent="0.25">
      <c r="A12" s="41" t="s">
        <v>15</v>
      </c>
      <c r="B12" s="4" t="s">
        <v>12</v>
      </c>
      <c r="C12" s="4">
        <v>90</v>
      </c>
      <c r="D12" s="4" t="s">
        <v>0</v>
      </c>
      <c r="E12" s="4">
        <f>CONVERT(C12,"mm","m")</f>
        <v>0.09</v>
      </c>
      <c r="F12" s="4" t="s">
        <v>3</v>
      </c>
    </row>
    <row r="13" spans="1:6" x14ac:dyDescent="0.25">
      <c r="A13" s="41"/>
      <c r="B13" s="4" t="s">
        <v>13</v>
      </c>
      <c r="C13" s="4">
        <v>116</v>
      </c>
      <c r="D13" s="4" t="s">
        <v>0</v>
      </c>
      <c r="E13" s="4">
        <f t="shared" ref="E13" si="1">CONVERT(C13,"mm","m")</f>
        <v>0.11600000000000001</v>
      </c>
      <c r="F13" s="4" t="s">
        <v>3</v>
      </c>
    </row>
    <row r="14" spans="1:6" x14ac:dyDescent="0.25">
      <c r="A14" s="41"/>
      <c r="B14" s="4" t="s">
        <v>14</v>
      </c>
      <c r="C14" s="4">
        <v>2.5</v>
      </c>
      <c r="D14" s="4" t="s">
        <v>0</v>
      </c>
      <c r="E14" s="4">
        <f>CONVERT(C14,"mm","m")</f>
        <v>2.5000000000000001E-3</v>
      </c>
      <c r="F14" s="4" t="s">
        <v>3</v>
      </c>
    </row>
    <row r="15" spans="1:6" x14ac:dyDescent="0.25">
      <c r="A15" s="41"/>
      <c r="B15" s="4" t="s">
        <v>37</v>
      </c>
      <c r="C15" s="4">
        <f>C12*C13</f>
        <v>10440</v>
      </c>
      <c r="D15" s="4" t="s">
        <v>0</v>
      </c>
      <c r="E15" s="4">
        <f>CONVERT(C15,"mm2","m2")</f>
        <v>1.044E-2</v>
      </c>
      <c r="F15" s="4" t="s">
        <v>10</v>
      </c>
    </row>
    <row r="16" spans="1:6" x14ac:dyDescent="0.25">
      <c r="A16" s="41" t="s">
        <v>21</v>
      </c>
      <c r="B16" s="4" t="s">
        <v>16</v>
      </c>
      <c r="C16" s="4">
        <v>60</v>
      </c>
      <c r="D16" s="4"/>
      <c r="E16" s="4"/>
      <c r="F16" s="4"/>
    </row>
    <row r="17" spans="1:10" x14ac:dyDescent="0.25">
      <c r="A17" s="41"/>
      <c r="B17" s="4" t="s">
        <v>17</v>
      </c>
      <c r="C17" s="4">
        <v>0.8</v>
      </c>
      <c r="D17" s="4" t="s">
        <v>0</v>
      </c>
      <c r="E17" s="4">
        <f t="shared" ref="E17" si="2">CONVERT(C17,"mm","m")</f>
        <v>8.0000000000000004E-4</v>
      </c>
      <c r="F17" s="4" t="s">
        <v>3</v>
      </c>
    </row>
    <row r="18" spans="1:10" x14ac:dyDescent="0.25">
      <c r="A18" s="41"/>
      <c r="B18" s="4" t="s">
        <v>19</v>
      </c>
      <c r="C18" s="4">
        <v>27</v>
      </c>
      <c r="D18" s="4" t="s">
        <v>0</v>
      </c>
      <c r="E18" s="4">
        <f t="shared" ref="E18:E19" si="3">CONVERT(C18,"mm","m")</f>
        <v>2.7E-2</v>
      </c>
      <c r="F18" s="4" t="s">
        <v>3</v>
      </c>
    </row>
    <row r="19" spans="1:10" ht="15.75" thickBot="1" x14ac:dyDescent="0.3">
      <c r="A19" s="41"/>
      <c r="B19" s="4" t="s">
        <v>18</v>
      </c>
      <c r="C19" s="4">
        <f>C18-C14</f>
        <v>24.5</v>
      </c>
      <c r="D19" s="4" t="s">
        <v>0</v>
      </c>
      <c r="E19" s="4">
        <f t="shared" si="3"/>
        <v>2.4500000000000001E-2</v>
      </c>
      <c r="F19" s="4" t="s">
        <v>3</v>
      </c>
    </row>
    <row r="20" spans="1:10" ht="23.25" x14ac:dyDescent="0.35">
      <c r="A20" s="41"/>
      <c r="B20" s="4" t="s">
        <v>20</v>
      </c>
      <c r="C20" s="4">
        <f>(C13-(C16*C17))/(C16-1)</f>
        <v>1.152542372881356</v>
      </c>
      <c r="D20" s="4" t="s">
        <v>0</v>
      </c>
      <c r="E20" s="4">
        <f>CONVERT(C20,"mm","m")</f>
        <v>1.1525423728813559E-3</v>
      </c>
      <c r="F20" s="4" t="s">
        <v>3</v>
      </c>
      <c r="H20" s="27" t="s">
        <v>63</v>
      </c>
      <c r="I20" s="28"/>
      <c r="J20" s="29"/>
    </row>
    <row r="21" spans="1:10" x14ac:dyDescent="0.25">
      <c r="A21" s="5"/>
      <c r="B21" s="6" t="s">
        <v>58</v>
      </c>
      <c r="C21" s="6">
        <v>25</v>
      </c>
      <c r="D21" s="6" t="s">
        <v>59</v>
      </c>
      <c r="E21" s="7"/>
      <c r="F21" s="7"/>
      <c r="H21" s="53" t="s">
        <v>39</v>
      </c>
      <c r="I21" s="54"/>
      <c r="J21" s="55"/>
    </row>
    <row r="22" spans="1:10" x14ac:dyDescent="0.25">
      <c r="A22" s="7"/>
      <c r="B22" s="6" t="s">
        <v>60</v>
      </c>
      <c r="C22" s="6">
        <v>150</v>
      </c>
      <c r="D22" s="6" t="s">
        <v>1</v>
      </c>
      <c r="E22" s="7"/>
      <c r="F22" s="7"/>
      <c r="H22" s="12" t="s">
        <v>33</v>
      </c>
      <c r="I22" s="13">
        <v>0.2</v>
      </c>
      <c r="J22" s="14" t="s">
        <v>34</v>
      </c>
    </row>
    <row r="23" spans="1:10" ht="23.25" x14ac:dyDescent="0.35">
      <c r="A23" s="2" t="s">
        <v>61</v>
      </c>
      <c r="H23" s="15"/>
      <c r="I23" s="16"/>
      <c r="J23" s="17"/>
    </row>
    <row r="24" spans="1:10" x14ac:dyDescent="0.25">
      <c r="A24" s="42" t="s">
        <v>22</v>
      </c>
      <c r="B24" s="43"/>
      <c r="C24" s="43"/>
      <c r="D24" s="43"/>
      <c r="E24" s="43"/>
      <c r="F24" s="44"/>
      <c r="H24" s="53" t="s">
        <v>40</v>
      </c>
      <c r="I24" s="54"/>
      <c r="J24" s="55"/>
    </row>
    <row r="25" spans="1:10" x14ac:dyDescent="0.25">
      <c r="A25" s="30" t="s">
        <v>23</v>
      </c>
      <c r="B25" s="8" t="s">
        <v>24</v>
      </c>
      <c r="C25" s="8"/>
      <c r="D25" s="8"/>
      <c r="E25" s="8"/>
      <c r="F25" s="8"/>
      <c r="H25" s="12" t="s">
        <v>36</v>
      </c>
      <c r="I25" s="13">
        <f>E6</f>
        <v>2.3625E-3</v>
      </c>
      <c r="J25" s="14" t="s">
        <v>9</v>
      </c>
    </row>
    <row r="26" spans="1:10" x14ac:dyDescent="0.25">
      <c r="A26" s="32"/>
      <c r="B26" s="8" t="s">
        <v>25</v>
      </c>
      <c r="C26" s="8">
        <v>167</v>
      </c>
      <c r="D26" s="8" t="s">
        <v>26</v>
      </c>
      <c r="E26" s="8"/>
      <c r="F26" s="8"/>
      <c r="H26" s="12" t="s">
        <v>35</v>
      </c>
      <c r="I26" s="13">
        <f>E29/(C28*I25)</f>
        <v>1.0582010582010583E-2</v>
      </c>
      <c r="J26" s="14" t="s">
        <v>34</v>
      </c>
    </row>
    <row r="27" spans="1:10" x14ac:dyDescent="0.25">
      <c r="A27" s="30" t="s">
        <v>27</v>
      </c>
      <c r="B27" s="8" t="s">
        <v>28</v>
      </c>
      <c r="C27" s="8"/>
      <c r="D27" s="8"/>
      <c r="E27" s="8"/>
      <c r="F27" s="8"/>
      <c r="H27" s="15"/>
      <c r="I27" s="16"/>
      <c r="J27" s="17"/>
    </row>
    <row r="28" spans="1:10" x14ac:dyDescent="0.25">
      <c r="A28" s="31"/>
      <c r="B28" s="8" t="s">
        <v>25</v>
      </c>
      <c r="C28" s="8">
        <v>4</v>
      </c>
      <c r="D28" s="8" t="s">
        <v>26</v>
      </c>
      <c r="E28" s="8"/>
      <c r="F28" s="8"/>
      <c r="H28" s="53" t="s">
        <v>41</v>
      </c>
      <c r="I28" s="54"/>
      <c r="J28" s="55"/>
    </row>
    <row r="29" spans="1:10" x14ac:dyDescent="0.25">
      <c r="A29" s="32"/>
      <c r="B29" s="8" t="s">
        <v>29</v>
      </c>
      <c r="C29" s="8">
        <v>0.1</v>
      </c>
      <c r="D29" s="8" t="s">
        <v>0</v>
      </c>
      <c r="E29" s="8">
        <f>CONVERT(C29,"mm","m")</f>
        <v>1E-4</v>
      </c>
      <c r="F29" s="8" t="s">
        <v>3</v>
      </c>
      <c r="H29" s="12" t="s">
        <v>42</v>
      </c>
      <c r="I29" s="13">
        <f>E14/(C26*E6)</f>
        <v>6.3365332826410678E-3</v>
      </c>
      <c r="J29" s="14" t="s">
        <v>34</v>
      </c>
    </row>
    <row r="30" spans="1:10" ht="15.75" thickBot="1" x14ac:dyDescent="0.3">
      <c r="A30" s="33" t="s">
        <v>38</v>
      </c>
      <c r="B30" s="8" t="s">
        <v>25</v>
      </c>
      <c r="C30" s="8">
        <v>2.6200000000000001E-2</v>
      </c>
      <c r="D30" s="8" t="s">
        <v>26</v>
      </c>
      <c r="E30" s="8"/>
      <c r="F30" s="9"/>
      <c r="H30" s="18" t="s">
        <v>54</v>
      </c>
      <c r="I30" s="19">
        <f>1/(C39*C46)</f>
        <v>0.15612493681013329</v>
      </c>
      <c r="J30" s="20" t="s">
        <v>34</v>
      </c>
    </row>
    <row r="31" spans="1:10" x14ac:dyDescent="0.25">
      <c r="A31" s="33"/>
      <c r="B31" s="8" t="s">
        <v>30</v>
      </c>
      <c r="C31" s="9">
        <v>1.5679999999999999E-5</v>
      </c>
      <c r="D31" s="8" t="s">
        <v>31</v>
      </c>
      <c r="E31" s="8"/>
      <c r="F31" s="8"/>
    </row>
    <row r="32" spans="1:10" x14ac:dyDescent="0.25">
      <c r="A32" s="33"/>
      <c r="B32" s="8" t="s">
        <v>32</v>
      </c>
      <c r="C32" s="8">
        <v>0.71</v>
      </c>
      <c r="D32" s="8" t="s">
        <v>47</v>
      </c>
      <c r="E32" s="8"/>
      <c r="F32" s="8"/>
    </row>
    <row r="33" spans="1:12" x14ac:dyDescent="0.25">
      <c r="A33" s="34"/>
      <c r="B33" s="8" t="s">
        <v>45</v>
      </c>
      <c r="C33" s="8">
        <v>1</v>
      </c>
      <c r="D33" s="8" t="s">
        <v>2</v>
      </c>
      <c r="E33" s="8"/>
      <c r="F33" s="8"/>
      <c r="K33" s="1"/>
      <c r="L33" s="1"/>
    </row>
    <row r="35" spans="1:12" ht="15.75" thickBot="1" x14ac:dyDescent="0.3"/>
    <row r="36" spans="1:12" ht="23.25" x14ac:dyDescent="0.35">
      <c r="A36" s="48" t="s">
        <v>43</v>
      </c>
      <c r="B36" s="50" t="s">
        <v>62</v>
      </c>
      <c r="C36" s="51"/>
      <c r="D36" s="52"/>
      <c r="H36" s="45" t="s">
        <v>64</v>
      </c>
      <c r="I36" s="46"/>
      <c r="J36" s="47"/>
    </row>
    <row r="37" spans="1:12" x14ac:dyDescent="0.25">
      <c r="A37" s="49"/>
      <c r="B37" s="10" t="s">
        <v>44</v>
      </c>
      <c r="C37" s="11">
        <f>C33*E20/C31</f>
        <v>73.503977862331382</v>
      </c>
      <c r="D37" s="10" t="s">
        <v>65</v>
      </c>
      <c r="H37" s="21" t="s">
        <v>56</v>
      </c>
      <c r="I37" s="22">
        <f>I22+I26+I29+I30</f>
        <v>0.37304348067478493</v>
      </c>
      <c r="J37" s="23" t="s">
        <v>34</v>
      </c>
    </row>
    <row r="38" spans="1:12" ht="15.75" thickBot="1" x14ac:dyDescent="0.3">
      <c r="A38" s="49"/>
      <c r="B38" s="10" t="s">
        <v>46</v>
      </c>
      <c r="C38" s="10">
        <f>1.86*((C37*C32*(2*E20)/E12)^(1/3))</f>
        <v>2.0488844692232759</v>
      </c>
      <c r="D38" s="10"/>
      <c r="H38" s="24" t="s">
        <v>57</v>
      </c>
      <c r="I38" s="25">
        <f>C21+(C22*I37)</f>
        <v>80.956522101217743</v>
      </c>
      <c r="J38" s="26" t="s">
        <v>59</v>
      </c>
    </row>
    <row r="39" spans="1:12" x14ac:dyDescent="0.25">
      <c r="A39" s="49"/>
      <c r="B39" s="10" t="s">
        <v>48</v>
      </c>
      <c r="C39" s="10">
        <f>C38*C30/(2*E20)</f>
        <v>23.287982445039265</v>
      </c>
      <c r="D39" s="10" t="s">
        <v>55</v>
      </c>
    </row>
    <row r="40" spans="1:12" x14ac:dyDescent="0.25">
      <c r="A40" s="49"/>
      <c r="B40" s="10"/>
      <c r="C40" s="10"/>
      <c r="D40" s="10"/>
    </row>
    <row r="41" spans="1:12" x14ac:dyDescent="0.25">
      <c r="A41" s="49"/>
      <c r="B41" s="10" t="s">
        <v>49</v>
      </c>
      <c r="C41" s="10"/>
      <c r="D41" s="10"/>
    </row>
    <row r="42" spans="1:12" x14ac:dyDescent="0.25">
      <c r="A42" s="49"/>
      <c r="B42" s="10" t="s">
        <v>50</v>
      </c>
      <c r="C42" s="10">
        <f>(2*E19*E12)+(E17*E12)</f>
        <v>4.4819999999999999E-3</v>
      </c>
      <c r="D42" s="10" t="s">
        <v>10</v>
      </c>
    </row>
    <row r="43" spans="1:12" x14ac:dyDescent="0.25">
      <c r="A43" s="49"/>
      <c r="B43" s="10" t="s">
        <v>51</v>
      </c>
      <c r="C43" s="10">
        <f>C16*C42</f>
        <v>0.26891999999999999</v>
      </c>
      <c r="D43" s="10" t="s">
        <v>10</v>
      </c>
    </row>
    <row r="44" spans="1:12" x14ac:dyDescent="0.25">
      <c r="A44" s="49"/>
      <c r="B44" s="10" t="s">
        <v>52</v>
      </c>
      <c r="C44" s="10">
        <f>(E12*E13)-(C16*E17*E12)</f>
        <v>6.1199999999999996E-3</v>
      </c>
      <c r="D44" s="10" t="s">
        <v>10</v>
      </c>
    </row>
    <row r="45" spans="1:12" x14ac:dyDescent="0.25">
      <c r="A45" s="49"/>
      <c r="B45" s="10"/>
      <c r="C45" s="10"/>
      <c r="D45" s="10"/>
    </row>
    <row r="46" spans="1:12" x14ac:dyDescent="0.25">
      <c r="A46" s="49"/>
      <c r="B46" s="10" t="s">
        <v>53</v>
      </c>
      <c r="C46" s="10">
        <f>SUM(C43:C44)</f>
        <v>0.27504000000000001</v>
      </c>
      <c r="D46" s="10" t="s">
        <v>10</v>
      </c>
    </row>
  </sheetData>
  <mergeCells count="15">
    <mergeCell ref="H36:J36"/>
    <mergeCell ref="A36:A46"/>
    <mergeCell ref="B36:D36"/>
    <mergeCell ref="H21:J21"/>
    <mergeCell ref="H24:J24"/>
    <mergeCell ref="H28:J28"/>
    <mergeCell ref="H20:J20"/>
    <mergeCell ref="A27:A29"/>
    <mergeCell ref="A30:A33"/>
    <mergeCell ref="A11:F11"/>
    <mergeCell ref="B2:F2"/>
    <mergeCell ref="A12:A15"/>
    <mergeCell ref="A16:A20"/>
    <mergeCell ref="A24:F24"/>
    <mergeCell ref="A25:A2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045CDF7E580440B92B4A64C84DCC3C" ma:contentTypeVersion="12" ma:contentTypeDescription="Create a new document." ma:contentTypeScope="" ma:versionID="16d2a30efe5baa7d2e48296c58f6ed01">
  <xsd:schema xmlns:xsd="http://www.w3.org/2001/XMLSchema" xmlns:xs="http://www.w3.org/2001/XMLSchema" xmlns:p="http://schemas.microsoft.com/office/2006/metadata/properties" xmlns:ns2="beadd47c-efe7-42b4-8a02-9e73ffd9e407" xmlns:ns3="580a1119-040a-470d-868b-72075d21cdad" targetNamespace="http://schemas.microsoft.com/office/2006/metadata/properties" ma:root="true" ma:fieldsID="688119afcc7b37fa1c3853113599d7de" ns2:_="" ns3:_="">
    <xsd:import namespace="beadd47c-efe7-42b4-8a02-9e73ffd9e407"/>
    <xsd:import namespace="580a1119-040a-470d-868b-72075d21cd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dd47c-efe7-42b4-8a02-9e73ffd9e4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a01bc54-e8ac-48ad-b66a-971a0094b6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a1119-040a-470d-868b-72075d21cda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2b72971-b36d-4a6b-a392-01001208aaec}" ma:internalName="TaxCatchAll" ma:showField="CatchAllData" ma:web="580a1119-040a-470d-868b-72075d21cd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eadd47c-efe7-42b4-8a02-9e73ffd9e407">
      <Terms xmlns="http://schemas.microsoft.com/office/infopath/2007/PartnerControls"/>
    </lcf76f155ced4ddcb4097134ff3c332f>
    <TaxCatchAll xmlns="580a1119-040a-470d-868b-72075d21cd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B44BE3-6AC2-4034-BB62-AEFC8E1E54AF}"/>
</file>

<file path=customXml/itemProps2.xml><?xml version="1.0" encoding="utf-8"?>
<ds:datastoreItem xmlns:ds="http://schemas.openxmlformats.org/officeDocument/2006/customXml" ds:itemID="{DB15099C-9901-4660-957F-EFCDAAE90FC8}">
  <ds:schemaRefs>
    <ds:schemaRef ds:uri="http://schemas.microsoft.com/office/infopath/2007/PartnerControls"/>
    <ds:schemaRef ds:uri="580a1119-040a-470d-868b-72075d21cdad"/>
    <ds:schemaRef ds:uri="beadd47c-efe7-42b4-8a02-9e73ffd9e407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2A0052-AD0C-4214-BAC9-0C4B0025D8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Jose M</dc:creator>
  <cp:lastModifiedBy>Ashish M</cp:lastModifiedBy>
  <dcterms:created xsi:type="dcterms:W3CDTF">2025-02-16T17:03:03Z</dcterms:created>
  <dcterms:modified xsi:type="dcterms:W3CDTF">2025-12-10T17:52:18Z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0x010100DE045CDF7E580440B92B4A64C84DCC3C</vt:lpwstr>
  </property>
  <property fmtid="{D5CDD505-2E9C-101B-9397-08002B2CF9AE}" pid="3" name="MediaServiceImageTags">
    <vt:lpwstr/>
  </property>
</Properties>
</file>